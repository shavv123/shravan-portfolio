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rav\Downloads\"/>
    </mc:Choice>
  </mc:AlternateContent>
  <xr:revisionPtr revIDLastSave="0" documentId="13_ncr:1_{6E0B34B6-C120-4937-88DA-1539CCE871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5" sheetId="7" r:id="rId1"/>
    <sheet name="Sheet6" sheetId="8" r:id="rId2"/>
    <sheet name="Deshboard 2" sheetId="9" r:id="rId3"/>
    <sheet name="Sheet8" sheetId="10" r:id="rId4"/>
    <sheet name="Sales Data" sheetId="1" r:id="rId5"/>
    <sheet name="Read Me" sheetId="2" r:id="rId6"/>
    <sheet name="deshboard" sheetId="6" r:id="rId7"/>
  </sheets>
  <definedNames>
    <definedName name="_xlnm._FilterDatabase" localSheetId="4" hidden="1">'Sales Data'!$A$1:$K$25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1" i="6"/>
  <c r="D3" i="6"/>
  <c r="D2" i="6"/>
</calcChain>
</file>

<file path=xl/sharedStrings.xml><?xml version="1.0" encoding="utf-8"?>
<sst xmlns="http://schemas.openxmlformats.org/spreadsheetml/2006/main" count="151" uniqueCount="63">
  <si>
    <t>Order Date</t>
  </si>
  <si>
    <t>Region</t>
  </si>
  <si>
    <t>City</t>
  </si>
  <si>
    <t>Category</t>
  </si>
  <si>
    <t>Product</t>
  </si>
  <si>
    <t>Quantity</t>
  </si>
  <si>
    <t>Unit Price (INR)</t>
  </si>
  <si>
    <t>Unit Cost (INR)</t>
  </si>
  <si>
    <t>Revenue (INR)</t>
  </si>
  <si>
    <t>Cost (INR)</t>
  </si>
  <si>
    <t>Profit (INR)</t>
  </si>
  <si>
    <t>North</t>
  </si>
  <si>
    <t>Jaipur</t>
  </si>
  <si>
    <t>Electronics</t>
  </si>
  <si>
    <t>Headphones</t>
  </si>
  <si>
    <t>West</t>
  </si>
  <si>
    <t>Jodhpur</t>
  </si>
  <si>
    <t>Office Supplies</t>
  </si>
  <si>
    <t>Notebook</t>
  </si>
  <si>
    <t>Keyboard</t>
  </si>
  <si>
    <t>South</t>
  </si>
  <si>
    <t>Udaipur</t>
  </si>
  <si>
    <t>Furniture</t>
  </si>
  <si>
    <t>Chair</t>
  </si>
  <si>
    <t>Jaisalmer</t>
  </si>
  <si>
    <t>Pen Set</t>
  </si>
  <si>
    <t>Bikaner</t>
  </si>
  <si>
    <t>Mouse</t>
  </si>
  <si>
    <t>East</t>
  </si>
  <si>
    <t>Kota</t>
  </si>
  <si>
    <t>Desk</t>
  </si>
  <si>
    <t>Monitor</t>
  </si>
  <si>
    <t>Sales Analysis Practice Dataset</t>
  </si>
  <si>
    <t>Purpose</t>
  </si>
  <si>
    <t>Practice Excel analysis and dashboard building. This is a fictional sample dataset, not real company data.</t>
  </si>
  <si>
    <t>Rows</t>
  </si>
  <si>
    <t>24 fictional order records across Jan-Mar 2026.</t>
  </si>
  <si>
    <t>Suggested tasks</t>
  </si>
  <si>
    <t>Check data quality; create PivotTables; analyze revenue and profit by month, region, category, and product; create charts.</t>
  </si>
  <si>
    <t>Revenue formula</t>
  </si>
  <si>
    <t>Quantity * Unit Price</t>
  </si>
  <si>
    <t>Cost formula</t>
  </si>
  <si>
    <t>Quantity * Unit Cost</t>
  </si>
  <si>
    <t>Profit formula</t>
  </si>
  <si>
    <t>Revenue - Cost</t>
  </si>
  <si>
    <t>Resume note</t>
  </si>
  <si>
    <t>Do not claim project results until you complete and verify the analysis yourself.</t>
  </si>
  <si>
    <t>Row Labels</t>
  </si>
  <si>
    <t>Grand Total</t>
  </si>
  <si>
    <t>Sum of Profit (INR)</t>
  </si>
  <si>
    <t>Total Revenue</t>
  </si>
  <si>
    <t>Total Quantity</t>
  </si>
  <si>
    <t>Profit Margin</t>
  </si>
  <si>
    <t>Total Profit</t>
  </si>
  <si>
    <t>SALES PERFORMANCE DASHBOARD</t>
  </si>
  <si>
    <t>Sum of Revenue (INR)</t>
  </si>
  <si>
    <t>Jan</t>
  </si>
  <si>
    <t>Feb</t>
  </si>
  <si>
    <t>Mar</t>
  </si>
  <si>
    <t>TOTAL REVENUE</t>
  </si>
  <si>
    <t>TOTAL PROFIT</t>
  </si>
  <si>
    <t>QUANTITY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</si>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</sst>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5" fillId="0" borderId="0" xfId="0" applyFont="1"/>
    <xf numFmtId="0" fontId="3" fillId="5" borderId="1" xfId="4" applyFont="1" applyBorder="1"/>
    <xf numFmtId="44" fontId="2" fillId="3" borderId="1" xfId="2" applyNumberFormat="1" applyBorder="1"/>
    <xf numFmtId="44" fontId="2" fillId="4" borderId="1" xfId="3" applyNumberFormat="1" applyBorder="1"/>
    <xf numFmtId="44" fontId="4" fillId="2" borderId="1" xfId="1" applyNumberFormat="1" applyBorder="1"/>
    <xf numFmtId="10" fontId="2" fillId="3" borderId="1" xfId="2" applyNumberForma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0" applyFont="1" applyBorder="1"/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6" fontId="3" fillId="0" borderId="0" xfId="0" applyNumberFormat="1" applyFont="1" applyBorder="1"/>
    <xf numFmtId="10" fontId="3" fillId="0" borderId="0" xfId="0" applyNumberFormat="1" applyFont="1" applyBorder="1"/>
  </cellXfs>
  <cellStyles count="5">
    <cellStyle name="20% - Accent1" xfId="2" builtinId="30"/>
    <cellStyle name="20% - Accent6" xfId="4" builtinId="50"/>
    <cellStyle name="60% - Accent1" xfId="3" builtinId="32"/>
    <cellStyle name="Accent1" xfId="1" builtinId="29"/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#,##0.00</c:formatCode>
                <c:ptCount val="4"/>
                <c:pt idx="0">
                  <c:v>93700</c:v>
                </c:pt>
                <c:pt idx="1">
                  <c:v>73200</c:v>
                </c:pt>
                <c:pt idx="2">
                  <c:v>107500</c:v>
                </c:pt>
                <c:pt idx="3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B-47AF-BC64-02CA0E7E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757935"/>
        <c:axId val="1005773775"/>
      </c:barChart>
      <c:catAx>
        <c:axId val="100875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73775"/>
        <c:crosses val="autoZero"/>
        <c:auto val="1"/>
        <c:lblAlgn val="ctr"/>
        <c:lblOffset val="100"/>
        <c:noMultiLvlLbl val="0"/>
      </c:catAx>
      <c:valAx>
        <c:axId val="100577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5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[Sales_Analysis_Practice_Dataset.xlsx]Sheet6!PivotTable4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US"/>
          </a:p>
        </c:rich>
      </c:tx>
      <c:layout>
        <c:manualLayout>
          <c:xMode val="edge"/>
          <c:yMode val="edge"/>
          <c:x val="0.3425000000000000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Sheet6!$B$4:$B$7</c:f>
              <c:numCache>
                <c:formatCode>#,##0.00</c:formatCode>
                <c:ptCount val="3"/>
                <c:pt idx="0">
                  <c:v>62470</c:v>
                </c:pt>
                <c:pt idx="1">
                  <c:v>24750</c:v>
                </c:pt>
                <c:pt idx="2">
                  <c:v>10225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8-4770-A340-1160B5B9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241631"/>
        <c:axId val="1005670095"/>
      </c:barChart>
      <c:catAx>
        <c:axId val="103924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70095"/>
        <c:crosses val="autoZero"/>
        <c:auto val="1"/>
        <c:lblAlgn val="ctr"/>
        <c:lblOffset val="100"/>
        <c:noMultiLvlLbl val="0"/>
      </c:catAx>
      <c:valAx>
        <c:axId val="10056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4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[Sales_Analysis_Practice_Dataset.xlsx]Sheet5!PivotTable3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layout>
        <c:manualLayout>
          <c:xMode val="edge"/>
          <c:yMode val="edge"/>
          <c:x val="0.3334790026246718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#,##0.00</c:formatCode>
                <c:ptCount val="4"/>
                <c:pt idx="0">
                  <c:v>93700</c:v>
                </c:pt>
                <c:pt idx="1">
                  <c:v>73200</c:v>
                </c:pt>
                <c:pt idx="2">
                  <c:v>107500</c:v>
                </c:pt>
                <c:pt idx="3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4-43C4-8472-E2EA2A0C2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757935"/>
        <c:axId val="1005773775"/>
      </c:barChart>
      <c:catAx>
        <c:axId val="100875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73775"/>
        <c:crosses val="autoZero"/>
        <c:auto val="1"/>
        <c:lblAlgn val="ctr"/>
        <c:lblOffset val="100"/>
        <c:noMultiLvlLbl val="0"/>
      </c:catAx>
      <c:valAx>
        <c:axId val="100577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5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[Sales_Analysis_Practice_Dataset.xlsx]Sheet6!PivotTable4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US"/>
          </a:p>
        </c:rich>
      </c:tx>
      <c:layout>
        <c:manualLayout>
          <c:xMode val="edge"/>
          <c:yMode val="edge"/>
          <c:x val="0.3425000000000000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Sheet6!$B$4:$B$7</c:f>
              <c:numCache>
                <c:formatCode>#,##0.00</c:formatCode>
                <c:ptCount val="3"/>
                <c:pt idx="0">
                  <c:v>62470</c:v>
                </c:pt>
                <c:pt idx="1">
                  <c:v>24750</c:v>
                </c:pt>
                <c:pt idx="2">
                  <c:v>10225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3-4C5C-A797-F53788EC1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241631"/>
        <c:axId val="1005670095"/>
      </c:barChart>
      <c:catAx>
        <c:axId val="103924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70095"/>
        <c:crosses val="autoZero"/>
        <c:auto val="1"/>
        <c:lblAlgn val="ctr"/>
        <c:lblOffset val="100"/>
        <c:noMultiLvlLbl val="0"/>
      </c:catAx>
      <c:valAx>
        <c:axId val="10056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4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[Sales_Analysis_Practice_Dataset.xlsx]Sheet8!PivotTable5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Sheet8!$B$4:$B$7</c:f>
              <c:numCache>
                <c:formatCode>#,##0.00</c:formatCode>
                <c:ptCount val="3"/>
                <c:pt idx="0">
                  <c:v>114000</c:v>
                </c:pt>
                <c:pt idx="1">
                  <c:v>120800</c:v>
                </c:pt>
                <c:pt idx="2">
                  <c:v>111100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6-4D0D-9E30-1F7F043CC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809375"/>
        <c:axId val="1005753135"/>
      </c:barChart>
      <c:catAx>
        <c:axId val="88680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53135"/>
        <c:crosses val="autoZero"/>
        <c:auto val="1"/>
        <c:lblAlgn val="ctr"/>
        <c:lblOffset val="100"/>
        <c:noMultiLvlLbl val="0"/>
      </c:catAx>
      <c:valAx>
        <c:axId val="10057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80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layout>
        <c:manualLayout>
          <c:xMode val="edge"/>
          <c:yMode val="edge"/>
          <c:x val="0.3334790026246718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#,##0.00</c:formatCode>
                <c:ptCount val="4"/>
                <c:pt idx="0">
                  <c:v>93700</c:v>
                </c:pt>
                <c:pt idx="1">
                  <c:v>73200</c:v>
                </c:pt>
                <c:pt idx="2">
                  <c:v>107500</c:v>
                </c:pt>
                <c:pt idx="3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9-4351-BD2E-A7669194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757935"/>
        <c:axId val="1005773775"/>
      </c:barChart>
      <c:catAx>
        <c:axId val="100875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73775"/>
        <c:crosses val="autoZero"/>
        <c:auto val="1"/>
        <c:lblAlgn val="ctr"/>
        <c:lblOffset val="100"/>
        <c:noMultiLvlLbl val="0"/>
      </c:catAx>
      <c:valAx>
        <c:axId val="100577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5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6</xdr:row>
      <xdr:rowOff>45720</xdr:rowOff>
    </xdr:from>
    <xdr:to>
      <xdr:col>12</xdr:col>
      <xdr:colOff>45720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9E7E8-B91E-8763-2973-95CC5E760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6</xdr:row>
      <xdr:rowOff>41910</xdr:rowOff>
    </xdr:from>
    <xdr:to>
      <xdr:col>12</xdr:col>
      <xdr:colOff>7620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F9D24-C184-94D3-D883-58AFF571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325755</xdr:colOff>
      <xdr:row>13</xdr:row>
      <xdr:rowOff>8891</xdr:rowOff>
    </xdr:from>
    <xdr:to>
      <xdr:col>10</xdr:col>
      <xdr:colOff>20955</xdr:colOff>
      <xdr:row>28</xdr:row>
      <xdr:rowOff>8891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84CD7-6EE6-43CD-BCB9-529596E5F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579119</xdr:colOff>
      <xdr:row>12</xdr:row>
      <xdr:rowOff>152082</xdr:rowOff>
    </xdr:from>
    <xdr:to>
      <xdr:col>18</xdr:col>
      <xdr:colOff>274319</xdr:colOff>
      <xdr:row>27</xdr:row>
      <xdr:rowOff>152083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3EDC5-F8BD-4241-8F47-D68CB3D52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158432</xdr:colOff>
      <xdr:row>29</xdr:row>
      <xdr:rowOff>166053</xdr:rowOff>
    </xdr:from>
    <xdr:to>
      <xdr:col>14</xdr:col>
      <xdr:colOff>92772</xdr:colOff>
      <xdr:row>44</xdr:row>
      <xdr:rowOff>175233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43C6C0-2199-0242-D9E6-40DBDB424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1245" y="5563553"/>
          <a:ext cx="4593652" cy="27476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6</xdr:row>
      <xdr:rowOff>41910</xdr:rowOff>
    </xdr:from>
    <xdr:to>
      <xdr:col>12</xdr:col>
      <xdr:colOff>45720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C91B1-44D9-75A8-0967-4C99A0955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5</xdr:row>
      <xdr:rowOff>91440</xdr:rowOff>
    </xdr:from>
    <xdr:to>
      <xdr:col>9</xdr:col>
      <xdr:colOff>228600</xdr:colOff>
      <xdr:row>20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7032D-79EE-46B3-8538-0A2289DCA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xv Hacker" refreshedDate="46311.804699074077" createdVersion="8" refreshedVersion="8" minRefreshableVersion="3" recordCount="24" xr:uid="{DB6AA347-E2DA-4248-86E7-3883D1DC732F}">
  <cacheSource type="worksheet">
    <worksheetSource ref="A1:K25" sheet="Sales Data"/>
  </cacheSource>
  <cacheFields count="13">
    <cacheField name="Order Date" numFmtId="164">
      <sharedItems containsSemiMixedTypes="0" containsNonDate="0" containsDate="1" containsString="0" minDate="2026-01-03T00:00:00" maxDate="2026-03-29T00:00:00" count="24">
        <d v="2026-01-03T00:00:00"/>
        <d v="2026-01-05T00:00:00"/>
        <d v="2026-01-08T00:00:00"/>
        <d v="2026-01-12T00:00:00"/>
        <d v="2026-01-15T00:00:00"/>
        <d v="2026-01-18T00:00:00"/>
        <d v="2026-01-21T00:00:00"/>
        <d v="2026-01-24T00:00:00"/>
        <d v="2026-02-02T00:00:00"/>
        <d v="2026-02-04T00:00:00"/>
        <d v="2026-02-07T00:00:00"/>
        <d v="2026-02-11T00:00:00"/>
        <d v="2026-02-14T00:00:00"/>
        <d v="2026-02-18T00:00:00"/>
        <d v="2026-02-22T00:00:00"/>
        <d v="2026-02-25T00:00:00"/>
        <d v="2026-03-01T00:00:00"/>
        <d v="2026-03-04T00:00:00"/>
        <d v="2026-03-09T00:00:00"/>
        <d v="2026-03-13T00:00:00"/>
        <d v="2026-03-17T00:00:00"/>
        <d v="2026-03-20T00:00:00"/>
        <d v="2026-03-24T00:00:00"/>
        <d v="2026-03-28T00:00:00"/>
      </sharedItems>
      <fieldGroup par="12"/>
    </cacheField>
    <cacheField name="Region" numFmtId="0">
      <sharedItems count="4">
        <s v="North"/>
        <s v="West"/>
        <s v="South"/>
        <s v="East"/>
      </sharedItems>
    </cacheField>
    <cacheField name="City" numFmtId="0">
      <sharedItems/>
    </cacheField>
    <cacheField name="Category" numFmtId="0">
      <sharedItems count="3">
        <s v="Electronics"/>
        <s v="Office Supplies"/>
        <s v="Furniture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2" maxValue="50"/>
    </cacheField>
    <cacheField name="Unit Price (INR)" numFmtId="4">
      <sharedItems containsSemiMixedTypes="0" containsString="0" containsNumber="1" containsInteger="1" minValue="80" maxValue="8500"/>
    </cacheField>
    <cacheField name="Unit Cost (INR)" numFmtId="4">
      <sharedItems containsSemiMixedTypes="0" containsString="0" containsNumber="1" containsInteger="1" minValue="45" maxValue="6800"/>
    </cacheField>
    <cacheField name="Revenue (INR)" numFmtId="4">
      <sharedItems containsSemiMixedTypes="0" containsString="0" containsNumber="1" containsInteger="1" minValue="2800" maxValue="42500"/>
    </cacheField>
    <cacheField name="Cost (INR)" numFmtId="4">
      <sharedItems containsSemiMixedTypes="0" containsString="0" containsNumber="1" containsInteger="1" minValue="1575" maxValue="34000"/>
    </cacheField>
    <cacheField name="Profit (INR)" numFmtId="4">
      <sharedItems containsSemiMixedTypes="0" containsString="0" containsNumber="1" containsInteger="1" minValue="1225" maxValue="8500"/>
    </cacheField>
    <cacheField name="Days (Order Date)" numFmtId="0" databaseField="0">
      <fieldGroup base="0">
        <rangePr groupBy="days" startDate="2026-01-03T00:00:00" endDate="2026-03-29T00:00:00"/>
        <groupItems count="368">
          <s v="&lt;03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3-2026"/>
        </groupItems>
      </fieldGroup>
    </cacheField>
    <cacheField name="Months (Order Date)" numFmtId="0" databaseField="0">
      <fieldGroup base="0">
        <rangePr groupBy="months" startDate="2026-01-03T00:00:00" endDate="2026-03-29T00:00:00"/>
        <groupItems count="14">
          <s v="&lt;03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Jaipur"/>
    <x v="0"/>
    <s v="Headphones"/>
    <n v="10"/>
    <n v="1200"/>
    <n v="800"/>
    <n v="12000"/>
    <n v="8000"/>
    <n v="4000"/>
  </r>
  <r>
    <x v="1"/>
    <x v="1"/>
    <s v="Jodhpur"/>
    <x v="1"/>
    <s v="Notebook"/>
    <n v="35"/>
    <n v="80"/>
    <n v="45"/>
    <n v="2800"/>
    <n v="1575"/>
    <n v="1225"/>
  </r>
  <r>
    <x v="2"/>
    <x v="0"/>
    <s v="Jaipur"/>
    <x v="0"/>
    <s v="Keyboard"/>
    <n v="8"/>
    <n v="1500"/>
    <n v="950"/>
    <n v="12000"/>
    <n v="7600"/>
    <n v="4400"/>
  </r>
  <r>
    <x v="3"/>
    <x v="2"/>
    <s v="Udaipur"/>
    <x v="2"/>
    <s v="Chair"/>
    <n v="4"/>
    <n v="3200"/>
    <n v="2450"/>
    <n v="12800"/>
    <n v="9800"/>
    <n v="3000"/>
  </r>
  <r>
    <x v="4"/>
    <x v="1"/>
    <s v="Jaisalmer"/>
    <x v="1"/>
    <s v="Pen Set"/>
    <n v="22"/>
    <n v="150"/>
    <n v="75"/>
    <n v="3300"/>
    <n v="1650"/>
    <n v="1650"/>
  </r>
  <r>
    <x v="5"/>
    <x v="0"/>
    <s v="Bikaner"/>
    <x v="0"/>
    <s v="Mouse"/>
    <n v="14"/>
    <n v="650"/>
    <n v="390"/>
    <n v="9100"/>
    <n v="5460"/>
    <n v="3640"/>
  </r>
  <r>
    <x v="6"/>
    <x v="3"/>
    <s v="Kota"/>
    <x v="2"/>
    <s v="Desk"/>
    <n v="3"/>
    <n v="6500"/>
    <n v="5000"/>
    <n v="19500"/>
    <n v="15000"/>
    <n v="4500"/>
  </r>
  <r>
    <x v="7"/>
    <x v="2"/>
    <s v="Udaipur"/>
    <x v="0"/>
    <s v="Monitor"/>
    <n v="5"/>
    <n v="8500"/>
    <n v="6800"/>
    <n v="42500"/>
    <n v="34000"/>
    <n v="8500"/>
  </r>
  <r>
    <x v="8"/>
    <x v="0"/>
    <s v="Jaipur"/>
    <x v="1"/>
    <s v="Notebook"/>
    <n v="40"/>
    <n v="80"/>
    <n v="45"/>
    <n v="3200"/>
    <n v="1800"/>
    <n v="1400"/>
  </r>
  <r>
    <x v="9"/>
    <x v="1"/>
    <s v="Jodhpur"/>
    <x v="0"/>
    <s v="Headphones"/>
    <n v="12"/>
    <n v="1200"/>
    <n v="800"/>
    <n v="14400"/>
    <n v="9600"/>
    <n v="4800"/>
  </r>
  <r>
    <x v="10"/>
    <x v="3"/>
    <s v="Kota"/>
    <x v="2"/>
    <s v="Chair"/>
    <n v="6"/>
    <n v="3200"/>
    <n v="2450"/>
    <n v="19200"/>
    <n v="14700"/>
    <n v="4500"/>
  </r>
  <r>
    <x v="11"/>
    <x v="2"/>
    <s v="Udaipur"/>
    <x v="1"/>
    <s v="Pen Set"/>
    <n v="30"/>
    <n v="150"/>
    <n v="75"/>
    <n v="4500"/>
    <n v="2250"/>
    <n v="2250"/>
  </r>
  <r>
    <x v="12"/>
    <x v="0"/>
    <s v="Bikaner"/>
    <x v="0"/>
    <s v="Keyboard"/>
    <n v="10"/>
    <n v="1500"/>
    <n v="950"/>
    <n v="15000"/>
    <n v="9500"/>
    <n v="5500"/>
  </r>
  <r>
    <x v="13"/>
    <x v="1"/>
    <s v="Jaisalmer"/>
    <x v="0"/>
    <s v="Mouse"/>
    <n v="20"/>
    <n v="650"/>
    <n v="390"/>
    <n v="13000"/>
    <n v="7800"/>
    <n v="5200"/>
  </r>
  <r>
    <x v="14"/>
    <x v="3"/>
    <s v="Kota"/>
    <x v="2"/>
    <s v="Desk"/>
    <n v="4"/>
    <n v="6500"/>
    <n v="5000"/>
    <n v="26000"/>
    <n v="20000"/>
    <n v="6000"/>
  </r>
  <r>
    <x v="15"/>
    <x v="2"/>
    <s v="Udaipur"/>
    <x v="0"/>
    <s v="Monitor"/>
    <n v="3"/>
    <n v="8500"/>
    <n v="6800"/>
    <n v="25500"/>
    <n v="20400"/>
    <n v="5100"/>
  </r>
  <r>
    <x v="16"/>
    <x v="0"/>
    <s v="Jaipur"/>
    <x v="0"/>
    <s v="Headphones"/>
    <n v="15"/>
    <n v="1200"/>
    <n v="800"/>
    <n v="18000"/>
    <n v="12000"/>
    <n v="6000"/>
  </r>
  <r>
    <x v="17"/>
    <x v="1"/>
    <s v="Jodhpur"/>
    <x v="1"/>
    <s v="Notebook"/>
    <n v="50"/>
    <n v="80"/>
    <n v="45"/>
    <n v="4000"/>
    <n v="2250"/>
    <n v="1750"/>
  </r>
  <r>
    <x v="18"/>
    <x v="3"/>
    <s v="Kota"/>
    <x v="2"/>
    <s v="Chair"/>
    <n v="5"/>
    <n v="3200"/>
    <n v="2450"/>
    <n v="16000"/>
    <n v="12250"/>
    <n v="3750"/>
  </r>
  <r>
    <x v="19"/>
    <x v="2"/>
    <s v="Udaipur"/>
    <x v="0"/>
    <s v="Keyboard"/>
    <n v="7"/>
    <n v="1500"/>
    <n v="950"/>
    <n v="10500"/>
    <n v="6650"/>
    <n v="3850"/>
  </r>
  <r>
    <x v="20"/>
    <x v="0"/>
    <s v="Bikaner"/>
    <x v="1"/>
    <s v="Pen Set"/>
    <n v="26"/>
    <n v="150"/>
    <n v="75"/>
    <n v="3900"/>
    <n v="1950"/>
    <n v="1950"/>
  </r>
  <r>
    <x v="21"/>
    <x v="1"/>
    <s v="Jaisalmer"/>
    <x v="0"/>
    <s v="Monitor"/>
    <n v="4"/>
    <n v="8500"/>
    <n v="6800"/>
    <n v="34000"/>
    <n v="27200"/>
    <n v="6800"/>
  </r>
  <r>
    <x v="22"/>
    <x v="3"/>
    <s v="Kota"/>
    <x v="2"/>
    <s v="Desk"/>
    <n v="2"/>
    <n v="6500"/>
    <n v="5000"/>
    <n v="13000"/>
    <n v="10000"/>
    <n v="3000"/>
  </r>
  <r>
    <x v="23"/>
    <x v="2"/>
    <s v="Udaipur"/>
    <x v="0"/>
    <s v="Mouse"/>
    <n v="18"/>
    <n v="650"/>
    <n v="390"/>
    <n v="11700"/>
    <n v="7020"/>
    <n v="46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77194-CBE0-48CF-A5AA-8CDDAB9AA4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3">
    <pivotField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4" showAll="0"/>
    <pivotField numFmtId="4" showAll="0"/>
    <pivotField dataField="1" numFmtId="4" showAll="0"/>
    <pivotField numFmtId="4" showAll="0"/>
    <pivotField numFmtId="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(INR)" fld="8" baseField="0" baseItem="0" numFmtId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8C7CA-2F0D-4FDF-B247-03197DF6724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3">
    <pivotField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 (INR)" fld="10" baseField="0" baseItem="0" numFmtId="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5C263-722E-475C-B386-F40BA565D24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3">
    <pivotField axis="axisRow"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numFmtId="4" showAll="0"/>
    <pivotField numFmtId="4" showAll="0"/>
    <pivotField dataField="1" numFmtId="4" showAll="0"/>
    <pivotField numFmtId="4" showAll="0"/>
    <pivotField numFmtId="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 (INR)" fld="8" baseField="0" baseItem="0" numFmtId="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2" type="button" dataOnly="0" labelOnly="1" outline="0" axis="axisRow" fieldPosition="0"/>
    </format>
    <format dxfId="2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3388-4446-4B88-BC67-906DF7B3799B}">
  <dimension ref="A3:B8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6" t="s">
        <v>47</v>
      </c>
      <c r="B3" t="s">
        <v>55</v>
      </c>
    </row>
    <row r="4" spans="1:2" x14ac:dyDescent="0.3">
      <c r="A4" s="7" t="s">
        <v>28</v>
      </c>
      <c r="B4" s="2">
        <v>93700</v>
      </c>
    </row>
    <row r="5" spans="1:2" x14ac:dyDescent="0.3">
      <c r="A5" s="7" t="s">
        <v>11</v>
      </c>
      <c r="B5" s="2">
        <v>73200</v>
      </c>
    </row>
    <row r="6" spans="1:2" x14ac:dyDescent="0.3">
      <c r="A6" s="7" t="s">
        <v>20</v>
      </c>
      <c r="B6" s="2">
        <v>107500</v>
      </c>
    </row>
    <row r="7" spans="1:2" x14ac:dyDescent="0.3">
      <c r="A7" s="7" t="s">
        <v>15</v>
      </c>
      <c r="B7" s="2">
        <v>71500</v>
      </c>
    </row>
    <row r="8" spans="1:2" x14ac:dyDescent="0.3">
      <c r="A8" s="7" t="s">
        <v>48</v>
      </c>
      <c r="B8" s="2">
        <v>345900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9F46-94DA-46F0-8119-09793C32A921}">
  <dimension ref="A3:B7"/>
  <sheetViews>
    <sheetView workbookViewId="0">
      <selection activeCell="B11" sqref="B11"/>
    </sheetView>
  </sheetViews>
  <sheetFormatPr defaultRowHeight="14.4" x14ac:dyDescent="0.3"/>
  <cols>
    <col min="1" max="1" width="13.109375" bestFit="1" customWidth="1"/>
    <col min="2" max="2" width="17" bestFit="1" customWidth="1"/>
  </cols>
  <sheetData>
    <row r="3" spans="1:2" x14ac:dyDescent="0.3">
      <c r="A3" s="8" t="s">
        <v>47</v>
      </c>
      <c r="B3" s="4" t="s">
        <v>49</v>
      </c>
    </row>
    <row r="4" spans="1:2" x14ac:dyDescent="0.3">
      <c r="A4" s="9" t="s">
        <v>13</v>
      </c>
      <c r="B4" s="5">
        <v>62470</v>
      </c>
    </row>
    <row r="5" spans="1:2" x14ac:dyDescent="0.3">
      <c r="A5" s="9" t="s">
        <v>22</v>
      </c>
      <c r="B5" s="5">
        <v>24750</v>
      </c>
    </row>
    <row r="6" spans="1:2" x14ac:dyDescent="0.3">
      <c r="A6" s="9" t="s">
        <v>17</v>
      </c>
      <c r="B6" s="5">
        <v>10225</v>
      </c>
    </row>
    <row r="7" spans="1:2" x14ac:dyDescent="0.3">
      <c r="A7" s="9" t="s">
        <v>48</v>
      </c>
      <c r="B7" s="5">
        <v>97445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B5F0-1E91-4C98-A700-27EF3AA6DC2A}">
  <dimension ref="C4:T48"/>
  <sheetViews>
    <sheetView showGridLines="0" tabSelected="1" zoomScale="55" zoomScaleNormal="55" workbookViewId="0">
      <selection activeCell="X11" sqref="X11"/>
    </sheetView>
  </sheetViews>
  <sheetFormatPr defaultRowHeight="14.4" x14ac:dyDescent="0.3"/>
  <cols>
    <col min="6" max="6" width="15.44140625" bestFit="1" customWidth="1"/>
    <col min="9" max="9" width="13.21875" bestFit="1" customWidth="1"/>
    <col min="12" max="12" width="10.21875" bestFit="1" customWidth="1"/>
    <col min="15" max="15" width="15" bestFit="1" customWidth="1"/>
  </cols>
  <sheetData>
    <row r="4" spans="3:20" ht="15" thickBot="1" x14ac:dyDescent="0.35"/>
    <row r="5" spans="3:20" x14ac:dyDescent="0.3"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</row>
    <row r="6" spans="3:20" ht="15" thickBot="1" x14ac:dyDescent="0.35"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/>
    </row>
    <row r="7" spans="3:20" ht="21.6" thickBot="1" x14ac:dyDescent="0.45">
      <c r="C7" s="24"/>
      <c r="D7" s="25"/>
      <c r="E7" s="25"/>
      <c r="F7" s="25"/>
      <c r="G7" s="25"/>
      <c r="H7" s="25"/>
      <c r="I7" s="16" t="s">
        <v>54</v>
      </c>
      <c r="J7" s="17"/>
      <c r="K7" s="17"/>
      <c r="L7" s="17"/>
      <c r="M7" s="18"/>
      <c r="N7" s="25"/>
      <c r="O7" s="25"/>
      <c r="P7" s="25"/>
      <c r="Q7" s="25"/>
      <c r="R7" s="25"/>
      <c r="S7" s="25"/>
      <c r="T7" s="26"/>
    </row>
    <row r="8" spans="3:20" x14ac:dyDescent="0.3">
      <c r="C8" s="24"/>
      <c r="D8" s="25"/>
      <c r="E8" s="25"/>
      <c r="F8" s="19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/>
    </row>
    <row r="9" spans="3:20" x14ac:dyDescent="0.3">
      <c r="C9" s="24"/>
      <c r="D9" s="25"/>
      <c r="E9" s="25"/>
      <c r="F9" s="19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/>
    </row>
    <row r="10" spans="3:20" ht="15" thickBot="1" x14ac:dyDescent="0.35">
      <c r="C10" s="24"/>
      <c r="D10" s="25"/>
      <c r="E10" s="25"/>
      <c r="F10" s="19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</row>
    <row r="11" spans="3:20" ht="15" thickBot="1" x14ac:dyDescent="0.35">
      <c r="C11" s="24"/>
      <c r="D11" s="25"/>
      <c r="E11" s="25"/>
      <c r="F11" s="20" t="s">
        <v>59</v>
      </c>
      <c r="G11" s="25"/>
      <c r="H11" s="25"/>
      <c r="I11" s="20" t="s">
        <v>60</v>
      </c>
      <c r="J11" s="25"/>
      <c r="K11" s="25"/>
      <c r="L11" s="20" t="s">
        <v>61</v>
      </c>
      <c r="M11" s="25"/>
      <c r="N11" s="25"/>
      <c r="O11" s="20" t="s">
        <v>62</v>
      </c>
      <c r="P11" s="25"/>
      <c r="Q11" s="25"/>
      <c r="R11" s="25"/>
      <c r="S11" s="25"/>
      <c r="T11" s="26"/>
    </row>
    <row r="12" spans="3:20" x14ac:dyDescent="0.3">
      <c r="C12" s="24"/>
      <c r="D12" s="25"/>
      <c r="E12" s="25"/>
      <c r="F12" s="30">
        <v>345900</v>
      </c>
      <c r="G12" s="25"/>
      <c r="H12" s="25"/>
      <c r="I12" s="30">
        <v>97445</v>
      </c>
      <c r="J12" s="25"/>
      <c r="K12" s="25"/>
      <c r="L12" s="19">
        <v>353</v>
      </c>
      <c r="M12" s="25"/>
      <c r="N12" s="25"/>
      <c r="O12" s="31">
        <v>0.28170000000000001</v>
      </c>
      <c r="P12" s="25"/>
      <c r="Q12" s="25"/>
      <c r="R12" s="25"/>
      <c r="S12" s="25"/>
      <c r="T12" s="26"/>
    </row>
    <row r="13" spans="3:20" x14ac:dyDescent="0.3"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</row>
    <row r="14" spans="3:20" x14ac:dyDescent="0.3"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/>
    </row>
    <row r="15" spans="3:20" x14ac:dyDescent="0.3"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/>
    </row>
    <row r="16" spans="3:20" x14ac:dyDescent="0.3"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</row>
    <row r="17" spans="3:20" x14ac:dyDescent="0.3"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/>
    </row>
    <row r="18" spans="3:20" x14ac:dyDescent="0.3"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</row>
    <row r="19" spans="3:20" x14ac:dyDescent="0.3"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</row>
    <row r="20" spans="3:20" x14ac:dyDescent="0.3"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/>
    </row>
    <row r="21" spans="3:20" x14ac:dyDescent="0.3"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/>
    </row>
    <row r="22" spans="3:20" x14ac:dyDescent="0.3"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</row>
    <row r="23" spans="3:20" x14ac:dyDescent="0.3"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/>
    </row>
    <row r="24" spans="3:20" x14ac:dyDescent="0.3"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/>
    </row>
    <row r="25" spans="3:20" x14ac:dyDescent="0.3"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/>
    </row>
    <row r="26" spans="3:20" x14ac:dyDescent="0.3"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</row>
    <row r="27" spans="3:20" x14ac:dyDescent="0.3"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/>
    </row>
    <row r="28" spans="3:20" x14ac:dyDescent="0.3"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</row>
    <row r="29" spans="3:20" x14ac:dyDescent="0.3"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</row>
    <row r="30" spans="3:20" x14ac:dyDescent="0.3"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</row>
    <row r="31" spans="3:20" x14ac:dyDescent="0.3"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</row>
    <row r="32" spans="3:20" x14ac:dyDescent="0.3"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/>
    </row>
    <row r="33" spans="3:20" x14ac:dyDescent="0.3"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</row>
    <row r="34" spans="3:20" x14ac:dyDescent="0.3"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</row>
    <row r="35" spans="3:20" x14ac:dyDescent="0.3"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</row>
    <row r="36" spans="3:20" x14ac:dyDescent="0.3"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</row>
    <row r="37" spans="3:20" x14ac:dyDescent="0.3"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</row>
    <row r="38" spans="3:20" x14ac:dyDescent="0.3"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</row>
    <row r="39" spans="3:20" x14ac:dyDescent="0.3"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</row>
    <row r="40" spans="3:20" x14ac:dyDescent="0.3"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</row>
    <row r="41" spans="3:20" x14ac:dyDescent="0.3"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</row>
    <row r="42" spans="3:20" x14ac:dyDescent="0.3"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</row>
    <row r="43" spans="3:20" x14ac:dyDescent="0.3"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</row>
    <row r="44" spans="3:20" x14ac:dyDescent="0.3"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</row>
    <row r="45" spans="3:20" x14ac:dyDescent="0.3"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</row>
    <row r="46" spans="3:20" x14ac:dyDescent="0.3"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</row>
    <row r="47" spans="3:20" x14ac:dyDescent="0.3"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</row>
    <row r="48" spans="3:20" ht="15" thickBot="1" x14ac:dyDescent="0.35">
      <c r="C48" s="27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9"/>
    </row>
  </sheetData>
  <mergeCells count="1">
    <mergeCell ref="I7:M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EFA5-0561-41E8-A231-CD0BFBDF3254}">
  <dimension ref="A3:B7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8" t="s">
        <v>47</v>
      </c>
      <c r="B3" s="4" t="s">
        <v>55</v>
      </c>
    </row>
    <row r="4" spans="1:2" x14ac:dyDescent="0.3">
      <c r="A4" s="9" t="s">
        <v>56</v>
      </c>
      <c r="B4" s="5">
        <v>114000</v>
      </c>
    </row>
    <row r="5" spans="1:2" x14ac:dyDescent="0.3">
      <c r="A5" s="9" t="s">
        <v>57</v>
      </c>
      <c r="B5" s="5">
        <v>120800</v>
      </c>
    </row>
    <row r="6" spans="1:2" x14ac:dyDescent="0.3">
      <c r="A6" s="9" t="s">
        <v>58</v>
      </c>
      <c r="B6" s="5">
        <v>111100</v>
      </c>
    </row>
    <row r="7" spans="1:2" x14ac:dyDescent="0.3">
      <c r="A7" s="9" t="s">
        <v>48</v>
      </c>
      <c r="B7" s="5">
        <v>345900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21" customWidth="1"/>
    <col min="2" max="2" width="8" customWidth="1"/>
    <col min="3" max="3" width="11" customWidth="1"/>
    <col min="4" max="4" width="17" customWidth="1"/>
    <col min="5" max="5" width="12" customWidth="1"/>
    <col min="6" max="6" width="10" customWidth="1"/>
    <col min="7" max="7" width="18" customWidth="1"/>
    <col min="8" max="8" width="17" customWidth="1"/>
    <col min="9" max="9" width="15" customWidth="1"/>
    <col min="10" max="10" width="12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46025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10</v>
      </c>
      <c r="G2" s="5">
        <v>1200</v>
      </c>
      <c r="H2" s="5">
        <v>800</v>
      </c>
      <c r="I2" s="5">
        <v>12000</v>
      </c>
      <c r="J2" s="5">
        <v>8000</v>
      </c>
      <c r="K2" s="5">
        <v>4000</v>
      </c>
    </row>
    <row r="3" spans="1:11" x14ac:dyDescent="0.3">
      <c r="A3" s="3">
        <v>46027</v>
      </c>
      <c r="B3" s="4" t="s">
        <v>15</v>
      </c>
      <c r="C3" s="4" t="s">
        <v>16</v>
      </c>
      <c r="D3" s="4" t="s">
        <v>17</v>
      </c>
      <c r="E3" s="4" t="s">
        <v>18</v>
      </c>
      <c r="F3" s="4">
        <v>35</v>
      </c>
      <c r="G3" s="5">
        <v>80</v>
      </c>
      <c r="H3" s="5">
        <v>45</v>
      </c>
      <c r="I3" s="5">
        <v>2800</v>
      </c>
      <c r="J3" s="5">
        <v>1575</v>
      </c>
      <c r="K3" s="5">
        <v>1225</v>
      </c>
    </row>
    <row r="4" spans="1:11" x14ac:dyDescent="0.3">
      <c r="A4" s="3">
        <v>46030</v>
      </c>
      <c r="B4" s="4" t="s">
        <v>11</v>
      </c>
      <c r="C4" s="4" t="s">
        <v>12</v>
      </c>
      <c r="D4" s="4" t="s">
        <v>13</v>
      </c>
      <c r="E4" s="4" t="s">
        <v>19</v>
      </c>
      <c r="F4" s="4">
        <v>8</v>
      </c>
      <c r="G4" s="5">
        <v>1500</v>
      </c>
      <c r="H4" s="5">
        <v>950</v>
      </c>
      <c r="I4" s="5">
        <v>12000</v>
      </c>
      <c r="J4" s="5">
        <v>7600</v>
      </c>
      <c r="K4" s="5">
        <v>4400</v>
      </c>
    </row>
    <row r="5" spans="1:11" x14ac:dyDescent="0.3">
      <c r="A5" s="3">
        <v>46034</v>
      </c>
      <c r="B5" s="4" t="s">
        <v>20</v>
      </c>
      <c r="C5" s="4" t="s">
        <v>21</v>
      </c>
      <c r="D5" s="4" t="s">
        <v>22</v>
      </c>
      <c r="E5" s="4" t="s">
        <v>23</v>
      </c>
      <c r="F5" s="4">
        <v>4</v>
      </c>
      <c r="G5" s="5">
        <v>3200</v>
      </c>
      <c r="H5" s="5">
        <v>2450</v>
      </c>
      <c r="I5" s="5">
        <v>12800</v>
      </c>
      <c r="J5" s="5">
        <v>9800</v>
      </c>
      <c r="K5" s="5">
        <v>3000</v>
      </c>
    </row>
    <row r="6" spans="1:11" x14ac:dyDescent="0.3">
      <c r="A6" s="3">
        <v>46037</v>
      </c>
      <c r="B6" s="4" t="s">
        <v>15</v>
      </c>
      <c r="C6" s="4" t="s">
        <v>24</v>
      </c>
      <c r="D6" s="4" t="s">
        <v>17</v>
      </c>
      <c r="E6" s="4" t="s">
        <v>25</v>
      </c>
      <c r="F6" s="4">
        <v>22</v>
      </c>
      <c r="G6" s="5">
        <v>150</v>
      </c>
      <c r="H6" s="5">
        <v>75</v>
      </c>
      <c r="I6" s="5">
        <v>3300</v>
      </c>
      <c r="J6" s="5">
        <v>1650</v>
      </c>
      <c r="K6" s="5">
        <v>1650</v>
      </c>
    </row>
    <row r="7" spans="1:11" x14ac:dyDescent="0.3">
      <c r="A7" s="3">
        <v>46040</v>
      </c>
      <c r="B7" s="4" t="s">
        <v>11</v>
      </c>
      <c r="C7" s="4" t="s">
        <v>26</v>
      </c>
      <c r="D7" s="4" t="s">
        <v>13</v>
      </c>
      <c r="E7" s="4" t="s">
        <v>27</v>
      </c>
      <c r="F7" s="4">
        <v>14</v>
      </c>
      <c r="G7" s="5">
        <v>650</v>
      </c>
      <c r="H7" s="5">
        <v>390</v>
      </c>
      <c r="I7" s="5">
        <v>9100</v>
      </c>
      <c r="J7" s="5">
        <v>5460</v>
      </c>
      <c r="K7" s="5">
        <v>3640</v>
      </c>
    </row>
    <row r="8" spans="1:11" x14ac:dyDescent="0.3">
      <c r="A8" s="3">
        <v>46043</v>
      </c>
      <c r="B8" s="4" t="s">
        <v>28</v>
      </c>
      <c r="C8" s="4" t="s">
        <v>29</v>
      </c>
      <c r="D8" s="4" t="s">
        <v>22</v>
      </c>
      <c r="E8" s="4" t="s">
        <v>30</v>
      </c>
      <c r="F8" s="4">
        <v>3</v>
      </c>
      <c r="G8" s="5">
        <v>6500</v>
      </c>
      <c r="H8" s="5">
        <v>5000</v>
      </c>
      <c r="I8" s="5">
        <v>19500</v>
      </c>
      <c r="J8" s="5">
        <v>15000</v>
      </c>
      <c r="K8" s="5">
        <v>4500</v>
      </c>
    </row>
    <row r="9" spans="1:11" x14ac:dyDescent="0.3">
      <c r="A9" s="3">
        <v>46046</v>
      </c>
      <c r="B9" s="4" t="s">
        <v>20</v>
      </c>
      <c r="C9" s="4" t="s">
        <v>21</v>
      </c>
      <c r="D9" s="4" t="s">
        <v>13</v>
      </c>
      <c r="E9" s="4" t="s">
        <v>31</v>
      </c>
      <c r="F9" s="4">
        <v>5</v>
      </c>
      <c r="G9" s="5">
        <v>8500</v>
      </c>
      <c r="H9" s="5">
        <v>6800</v>
      </c>
      <c r="I9" s="5">
        <v>42500</v>
      </c>
      <c r="J9" s="5">
        <v>34000</v>
      </c>
      <c r="K9" s="5">
        <v>8500</v>
      </c>
    </row>
    <row r="10" spans="1:11" x14ac:dyDescent="0.3">
      <c r="A10" s="3">
        <v>46055</v>
      </c>
      <c r="B10" s="4" t="s">
        <v>11</v>
      </c>
      <c r="C10" s="4" t="s">
        <v>12</v>
      </c>
      <c r="D10" s="4" t="s">
        <v>17</v>
      </c>
      <c r="E10" s="4" t="s">
        <v>18</v>
      </c>
      <c r="F10" s="4">
        <v>40</v>
      </c>
      <c r="G10" s="5">
        <v>80</v>
      </c>
      <c r="H10" s="5">
        <v>45</v>
      </c>
      <c r="I10" s="5">
        <v>3200</v>
      </c>
      <c r="J10" s="5">
        <v>1800</v>
      </c>
      <c r="K10" s="5">
        <v>1400</v>
      </c>
    </row>
    <row r="11" spans="1:11" x14ac:dyDescent="0.3">
      <c r="A11" s="3">
        <v>46057</v>
      </c>
      <c r="B11" s="4" t="s">
        <v>15</v>
      </c>
      <c r="C11" s="4" t="s">
        <v>16</v>
      </c>
      <c r="D11" s="4" t="s">
        <v>13</v>
      </c>
      <c r="E11" s="4" t="s">
        <v>14</v>
      </c>
      <c r="F11" s="4">
        <v>12</v>
      </c>
      <c r="G11" s="5">
        <v>1200</v>
      </c>
      <c r="H11" s="5">
        <v>800</v>
      </c>
      <c r="I11" s="5">
        <v>14400</v>
      </c>
      <c r="J11" s="5">
        <v>9600</v>
      </c>
      <c r="K11" s="5">
        <v>4800</v>
      </c>
    </row>
    <row r="12" spans="1:11" x14ac:dyDescent="0.3">
      <c r="A12" s="3">
        <v>46060</v>
      </c>
      <c r="B12" s="4" t="s">
        <v>28</v>
      </c>
      <c r="C12" s="4" t="s">
        <v>29</v>
      </c>
      <c r="D12" s="4" t="s">
        <v>22</v>
      </c>
      <c r="E12" s="4" t="s">
        <v>23</v>
      </c>
      <c r="F12" s="4">
        <v>6</v>
      </c>
      <c r="G12" s="5">
        <v>3200</v>
      </c>
      <c r="H12" s="5">
        <v>2450</v>
      </c>
      <c r="I12" s="5">
        <v>19200</v>
      </c>
      <c r="J12" s="5">
        <v>14700</v>
      </c>
      <c r="K12" s="5">
        <v>4500</v>
      </c>
    </row>
    <row r="13" spans="1:11" x14ac:dyDescent="0.3">
      <c r="A13" s="3">
        <v>46064</v>
      </c>
      <c r="B13" s="4" t="s">
        <v>20</v>
      </c>
      <c r="C13" s="4" t="s">
        <v>21</v>
      </c>
      <c r="D13" s="4" t="s">
        <v>17</v>
      </c>
      <c r="E13" s="4" t="s">
        <v>25</v>
      </c>
      <c r="F13" s="4">
        <v>30</v>
      </c>
      <c r="G13" s="5">
        <v>150</v>
      </c>
      <c r="H13" s="5">
        <v>75</v>
      </c>
      <c r="I13" s="5">
        <v>4500</v>
      </c>
      <c r="J13" s="5">
        <v>2250</v>
      </c>
      <c r="K13" s="5">
        <v>2250</v>
      </c>
    </row>
    <row r="14" spans="1:11" x14ac:dyDescent="0.3">
      <c r="A14" s="3">
        <v>46067</v>
      </c>
      <c r="B14" s="4" t="s">
        <v>11</v>
      </c>
      <c r="C14" s="4" t="s">
        <v>26</v>
      </c>
      <c r="D14" s="4" t="s">
        <v>13</v>
      </c>
      <c r="E14" s="4" t="s">
        <v>19</v>
      </c>
      <c r="F14" s="4">
        <v>10</v>
      </c>
      <c r="G14" s="5">
        <v>1500</v>
      </c>
      <c r="H14" s="5">
        <v>950</v>
      </c>
      <c r="I14" s="5">
        <v>15000</v>
      </c>
      <c r="J14" s="5">
        <v>9500</v>
      </c>
      <c r="K14" s="5">
        <v>5500</v>
      </c>
    </row>
    <row r="15" spans="1:11" x14ac:dyDescent="0.3">
      <c r="A15" s="3">
        <v>46071</v>
      </c>
      <c r="B15" s="4" t="s">
        <v>15</v>
      </c>
      <c r="C15" s="4" t="s">
        <v>24</v>
      </c>
      <c r="D15" s="4" t="s">
        <v>13</v>
      </c>
      <c r="E15" s="4" t="s">
        <v>27</v>
      </c>
      <c r="F15" s="4">
        <v>20</v>
      </c>
      <c r="G15" s="5">
        <v>650</v>
      </c>
      <c r="H15" s="5">
        <v>390</v>
      </c>
      <c r="I15" s="5">
        <v>13000</v>
      </c>
      <c r="J15" s="5">
        <v>7800</v>
      </c>
      <c r="K15" s="5">
        <v>5200</v>
      </c>
    </row>
    <row r="16" spans="1:11" x14ac:dyDescent="0.3">
      <c r="A16" s="3">
        <v>46075</v>
      </c>
      <c r="B16" s="4" t="s">
        <v>28</v>
      </c>
      <c r="C16" s="4" t="s">
        <v>29</v>
      </c>
      <c r="D16" s="4" t="s">
        <v>22</v>
      </c>
      <c r="E16" s="4" t="s">
        <v>30</v>
      </c>
      <c r="F16" s="4">
        <v>4</v>
      </c>
      <c r="G16" s="5">
        <v>6500</v>
      </c>
      <c r="H16" s="5">
        <v>5000</v>
      </c>
      <c r="I16" s="5">
        <v>26000</v>
      </c>
      <c r="J16" s="5">
        <v>20000</v>
      </c>
      <c r="K16" s="5">
        <v>6000</v>
      </c>
    </row>
    <row r="17" spans="1:11" x14ac:dyDescent="0.3">
      <c r="A17" s="3">
        <v>46078</v>
      </c>
      <c r="B17" s="4" t="s">
        <v>20</v>
      </c>
      <c r="C17" s="4" t="s">
        <v>21</v>
      </c>
      <c r="D17" s="4" t="s">
        <v>13</v>
      </c>
      <c r="E17" s="4" t="s">
        <v>31</v>
      </c>
      <c r="F17" s="4">
        <v>3</v>
      </c>
      <c r="G17" s="5">
        <v>8500</v>
      </c>
      <c r="H17" s="5">
        <v>6800</v>
      </c>
      <c r="I17" s="5">
        <v>25500</v>
      </c>
      <c r="J17" s="5">
        <v>20400</v>
      </c>
      <c r="K17" s="5">
        <v>5100</v>
      </c>
    </row>
    <row r="18" spans="1:11" x14ac:dyDescent="0.3">
      <c r="A18" s="3">
        <v>46082</v>
      </c>
      <c r="B18" s="4" t="s">
        <v>11</v>
      </c>
      <c r="C18" s="4" t="s">
        <v>12</v>
      </c>
      <c r="D18" s="4" t="s">
        <v>13</v>
      </c>
      <c r="E18" s="4" t="s">
        <v>14</v>
      </c>
      <c r="F18" s="4">
        <v>15</v>
      </c>
      <c r="G18" s="5">
        <v>1200</v>
      </c>
      <c r="H18" s="5">
        <v>800</v>
      </c>
      <c r="I18" s="5">
        <v>18000</v>
      </c>
      <c r="J18" s="5">
        <v>12000</v>
      </c>
      <c r="K18" s="5">
        <v>6000</v>
      </c>
    </row>
    <row r="19" spans="1:11" x14ac:dyDescent="0.3">
      <c r="A19" s="3">
        <v>46085</v>
      </c>
      <c r="B19" s="4" t="s">
        <v>15</v>
      </c>
      <c r="C19" s="4" t="s">
        <v>16</v>
      </c>
      <c r="D19" s="4" t="s">
        <v>17</v>
      </c>
      <c r="E19" s="4" t="s">
        <v>18</v>
      </c>
      <c r="F19" s="4">
        <v>50</v>
      </c>
      <c r="G19" s="5">
        <v>80</v>
      </c>
      <c r="H19" s="5">
        <v>45</v>
      </c>
      <c r="I19" s="5">
        <v>4000</v>
      </c>
      <c r="J19" s="5">
        <v>2250</v>
      </c>
      <c r="K19" s="5">
        <v>1750</v>
      </c>
    </row>
    <row r="20" spans="1:11" x14ac:dyDescent="0.3">
      <c r="A20" s="3">
        <v>46090</v>
      </c>
      <c r="B20" s="4" t="s">
        <v>28</v>
      </c>
      <c r="C20" s="4" t="s">
        <v>29</v>
      </c>
      <c r="D20" s="4" t="s">
        <v>22</v>
      </c>
      <c r="E20" s="4" t="s">
        <v>23</v>
      </c>
      <c r="F20" s="4">
        <v>5</v>
      </c>
      <c r="G20" s="5">
        <v>3200</v>
      </c>
      <c r="H20" s="5">
        <v>2450</v>
      </c>
      <c r="I20" s="5">
        <v>16000</v>
      </c>
      <c r="J20" s="5">
        <v>12250</v>
      </c>
      <c r="K20" s="5">
        <v>3750</v>
      </c>
    </row>
    <row r="21" spans="1:11" x14ac:dyDescent="0.3">
      <c r="A21" s="3">
        <v>46094</v>
      </c>
      <c r="B21" s="4" t="s">
        <v>20</v>
      </c>
      <c r="C21" s="4" t="s">
        <v>21</v>
      </c>
      <c r="D21" s="4" t="s">
        <v>13</v>
      </c>
      <c r="E21" s="4" t="s">
        <v>19</v>
      </c>
      <c r="F21" s="4">
        <v>7</v>
      </c>
      <c r="G21" s="5">
        <v>1500</v>
      </c>
      <c r="H21" s="5">
        <v>950</v>
      </c>
      <c r="I21" s="5">
        <v>10500</v>
      </c>
      <c r="J21" s="5">
        <v>6650</v>
      </c>
      <c r="K21" s="5">
        <v>3850</v>
      </c>
    </row>
    <row r="22" spans="1:11" x14ac:dyDescent="0.3">
      <c r="A22" s="3">
        <v>46098</v>
      </c>
      <c r="B22" s="4" t="s">
        <v>11</v>
      </c>
      <c r="C22" s="4" t="s">
        <v>26</v>
      </c>
      <c r="D22" s="4" t="s">
        <v>17</v>
      </c>
      <c r="E22" s="4" t="s">
        <v>25</v>
      </c>
      <c r="F22" s="4">
        <v>26</v>
      </c>
      <c r="G22" s="5">
        <v>150</v>
      </c>
      <c r="H22" s="5">
        <v>75</v>
      </c>
      <c r="I22" s="5">
        <v>3900</v>
      </c>
      <c r="J22" s="5">
        <v>1950</v>
      </c>
      <c r="K22" s="5">
        <v>1950</v>
      </c>
    </row>
    <row r="23" spans="1:11" x14ac:dyDescent="0.3">
      <c r="A23" s="3">
        <v>46101</v>
      </c>
      <c r="B23" s="4" t="s">
        <v>15</v>
      </c>
      <c r="C23" s="4" t="s">
        <v>24</v>
      </c>
      <c r="D23" s="4" t="s">
        <v>13</v>
      </c>
      <c r="E23" s="4" t="s">
        <v>31</v>
      </c>
      <c r="F23" s="4">
        <v>4</v>
      </c>
      <c r="G23" s="5">
        <v>8500</v>
      </c>
      <c r="H23" s="5">
        <v>6800</v>
      </c>
      <c r="I23" s="5">
        <v>34000</v>
      </c>
      <c r="J23" s="5">
        <v>27200</v>
      </c>
      <c r="K23" s="5">
        <v>6800</v>
      </c>
    </row>
    <row r="24" spans="1:11" x14ac:dyDescent="0.3">
      <c r="A24" s="3">
        <v>46105</v>
      </c>
      <c r="B24" s="4" t="s">
        <v>28</v>
      </c>
      <c r="C24" s="4" t="s">
        <v>29</v>
      </c>
      <c r="D24" s="4" t="s">
        <v>22</v>
      </c>
      <c r="E24" s="4" t="s">
        <v>30</v>
      </c>
      <c r="F24" s="4">
        <v>2</v>
      </c>
      <c r="G24" s="5">
        <v>6500</v>
      </c>
      <c r="H24" s="5">
        <v>5000</v>
      </c>
      <c r="I24" s="5">
        <v>13000</v>
      </c>
      <c r="J24" s="5">
        <v>10000</v>
      </c>
      <c r="K24" s="5">
        <v>3000</v>
      </c>
    </row>
    <row r="25" spans="1:11" x14ac:dyDescent="0.3">
      <c r="A25" s="3">
        <v>46109</v>
      </c>
      <c r="B25" s="4" t="s">
        <v>20</v>
      </c>
      <c r="C25" s="4" t="s">
        <v>21</v>
      </c>
      <c r="D25" s="4" t="s">
        <v>13</v>
      </c>
      <c r="E25" s="4" t="s">
        <v>27</v>
      </c>
      <c r="F25" s="4">
        <v>18</v>
      </c>
      <c r="G25" s="5">
        <v>650</v>
      </c>
      <c r="H25" s="5">
        <v>390</v>
      </c>
      <c r="I25" s="5">
        <v>11700</v>
      </c>
      <c r="J25" s="5">
        <v>7020</v>
      </c>
      <c r="K25" s="5">
        <v>4680</v>
      </c>
    </row>
    <row r="26" spans="1:1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</sheetData>
  <autoFilter ref="A1:K25" xr:uid="{00000000-0009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2" sqref="B12"/>
    </sheetView>
  </sheetViews>
  <sheetFormatPr defaultRowHeight="14.4" x14ac:dyDescent="0.3"/>
  <cols>
    <col min="1" max="1" width="26.21875" bestFit="1" customWidth="1"/>
    <col min="2" max="2" width="105" customWidth="1"/>
  </cols>
  <sheetData>
    <row r="1" spans="1:2" x14ac:dyDescent="0.3">
      <c r="A1" s="4" t="s">
        <v>32</v>
      </c>
      <c r="B1" s="4"/>
    </row>
    <row r="2" spans="1:2" x14ac:dyDescent="0.3">
      <c r="A2" s="4" t="s">
        <v>33</v>
      </c>
      <c r="B2" s="4" t="s">
        <v>34</v>
      </c>
    </row>
    <row r="3" spans="1:2" x14ac:dyDescent="0.3">
      <c r="A3" s="4" t="s">
        <v>35</v>
      </c>
      <c r="B3" s="4" t="s">
        <v>36</v>
      </c>
    </row>
    <row r="4" spans="1:2" x14ac:dyDescent="0.3">
      <c r="A4" s="4" t="s">
        <v>37</v>
      </c>
      <c r="B4" s="4" t="s">
        <v>38</v>
      </c>
    </row>
    <row r="5" spans="1:2" x14ac:dyDescent="0.3">
      <c r="A5" s="4" t="s">
        <v>39</v>
      </c>
      <c r="B5" s="4" t="s">
        <v>40</v>
      </c>
    </row>
    <row r="6" spans="1:2" x14ac:dyDescent="0.3">
      <c r="A6" s="4" t="s">
        <v>41</v>
      </c>
      <c r="B6" s="4" t="s">
        <v>42</v>
      </c>
    </row>
    <row r="7" spans="1:2" x14ac:dyDescent="0.3">
      <c r="A7" s="4" t="s">
        <v>43</v>
      </c>
      <c r="B7" s="4" t="s">
        <v>44</v>
      </c>
    </row>
    <row r="8" spans="1:2" x14ac:dyDescent="0.3">
      <c r="A8" s="4" t="s">
        <v>45</v>
      </c>
      <c r="B8" s="4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E20E-65A9-4C1F-B179-499819C734D9}">
  <dimension ref="C1:D5"/>
  <sheetViews>
    <sheetView workbookViewId="0">
      <selection activeCell="M9" sqref="M9"/>
    </sheetView>
  </sheetViews>
  <sheetFormatPr defaultRowHeight="14.4" x14ac:dyDescent="0.3"/>
  <cols>
    <col min="3" max="3" width="45.33203125" bestFit="1" customWidth="1"/>
    <col min="4" max="4" width="24.88671875" customWidth="1"/>
  </cols>
  <sheetData>
    <row r="1" spans="3:4" x14ac:dyDescent="0.3">
      <c r="C1" s="11" t="s">
        <v>50</v>
      </c>
      <c r="D1" s="14">
        <f>SUM('Sales Data'!I2:I25)</f>
        <v>345900</v>
      </c>
    </row>
    <row r="2" spans="3:4" x14ac:dyDescent="0.3">
      <c r="C2" s="11" t="s">
        <v>51</v>
      </c>
      <c r="D2" s="12">
        <f>SUM('Sales Data'!F2:F25)</f>
        <v>353</v>
      </c>
    </row>
    <row r="3" spans="3:4" x14ac:dyDescent="0.3">
      <c r="C3" s="11" t="s">
        <v>53</v>
      </c>
      <c r="D3" s="13">
        <f>SUM('Sales Data'!K2:K25)</f>
        <v>97445</v>
      </c>
    </row>
    <row r="4" spans="3:4" x14ac:dyDescent="0.3">
      <c r="C4" s="11" t="s">
        <v>52</v>
      </c>
      <c r="D4" s="15">
        <f>D3/D1</f>
        <v>0.28171436831454177</v>
      </c>
    </row>
    <row r="5" spans="3:4" ht="21" x14ac:dyDescent="0.4">
      <c r="C5" s="10" t="s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</vt:lpstr>
      <vt:lpstr>Sheet6</vt:lpstr>
      <vt:lpstr>Deshboard 2</vt:lpstr>
      <vt:lpstr>Sheet8</vt:lpstr>
      <vt:lpstr>Sales Data</vt:lpstr>
      <vt:lpstr>Read Me</vt:lpstr>
      <vt:lpstr>deshboard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Shraxv Hacker</cp:lastModifiedBy>
  <cp:lastPrinted>2026-10-16T13:00:55Z</cp:lastPrinted>
  <dcterms:created xsi:type="dcterms:W3CDTF">2026-10-16T12:56:58Z</dcterms:created>
  <dcterms:modified xsi:type="dcterms:W3CDTF">2026-10-18T09:23:40Z</dcterms:modified>
</cp:coreProperties>
</file>